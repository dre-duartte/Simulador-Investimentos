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BOOK\Documents\Estudos Excel DIO\"/>
    </mc:Choice>
  </mc:AlternateContent>
  <xr:revisionPtr revIDLastSave="0" documentId="13_ncr:1_{BB6BE73A-2A5B-4C92-977E-A8A180BDEE39}" xr6:coauthVersionLast="47" xr6:coauthVersionMax="47" xr10:uidLastSave="{00000000-0000-0000-0000-000000000000}"/>
  <bookViews>
    <workbookView xWindow="-120" yWindow="-120" windowWidth="20730" windowHeight="11040" tabRatio="126" xr2:uid="{809CE933-DA92-4F72-974A-DD76D9AAEB26}"/>
  </bookViews>
  <sheets>
    <sheet name="Simulador" sheetId="1" r:id="rId1"/>
    <sheet name="% FII" sheetId="2" r:id="rId2"/>
  </sheets>
  <definedNames>
    <definedName name="_xlchart.v2.0" hidden="1">Simulador!$C$42:$C$47</definedName>
    <definedName name="_xlchart.v2.1" hidden="1">Simulador!$D$41</definedName>
    <definedName name="_xlchart.v2.2" hidden="1">Simulador!$D$42:$D$47</definedName>
    <definedName name="_xlchart.v2.3" hidden="1">Simulador!$C$42:$C$47</definedName>
    <definedName name="_xlchart.v2.4" hidden="1">Simulador!$D$41</definedName>
    <definedName name="_xlchart.v2.5" hidden="1">Simulador!$D$42:$D$47</definedName>
    <definedName name="aporte_mensal">Simulador!$E$26</definedName>
    <definedName name="Patrimõnio">Simulador!$E$29</definedName>
    <definedName name="Qtd_anos">Simulador!$E$27</definedName>
    <definedName name="rendimento_carteira">Simulador!$E$22</definedName>
    <definedName name="Taxa_mensal">Simulador!$E$28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" i="1" l="1"/>
  <c r="D36" i="1"/>
  <c r="E36" i="1" s="1"/>
  <c r="E40" i="1"/>
  <c r="E23" i="1"/>
  <c r="D43" i="1"/>
  <c r="D44" i="1"/>
  <c r="D45" i="1"/>
  <c r="D46" i="1"/>
  <c r="D47" i="1"/>
  <c r="D42" i="1"/>
  <c r="B8" i="2"/>
  <c r="B9" i="2"/>
  <c r="B10" i="2"/>
  <c r="B11" i="2"/>
  <c r="B12" i="2"/>
  <c r="B13" i="2"/>
  <c r="B14" i="2"/>
  <c r="B15" i="2"/>
  <c r="B16" i="2"/>
  <c r="B17" i="2"/>
  <c r="B18" i="2"/>
  <c r="B19" i="2"/>
  <c r="B3" i="2"/>
  <c r="B4" i="2"/>
  <c r="B5" i="2"/>
  <c r="B6" i="2"/>
  <c r="B7" i="2"/>
  <c r="B2" i="2"/>
  <c r="E43" i="1" l="1"/>
  <c r="E44" i="1"/>
  <c r="E45" i="1"/>
  <c r="E46" i="1"/>
  <c r="E42" i="1"/>
  <c r="E47" i="1"/>
  <c r="E29" i="1"/>
  <c r="E30" i="1" s="1"/>
  <c r="E33" i="1"/>
  <c r="D37" i="1"/>
  <c r="E37" i="1" s="1"/>
  <c r="D34" i="1"/>
  <c r="E34" i="1" s="1"/>
  <c r="D35" i="1"/>
  <c r="E35" i="1" s="1"/>
  <c r="E48" i="1" l="1"/>
</calcChain>
</file>

<file path=xl/sharedStrings.xml><?xml version="1.0" encoding="utf-8"?>
<sst xmlns="http://schemas.openxmlformats.org/spreadsheetml/2006/main" count="74" uniqueCount="38">
  <si>
    <t>DRE INVEST</t>
  </si>
  <si>
    <t>INVESTIMENTO MENSAL</t>
  </si>
  <si>
    <t>Quanto Investir por mês ?</t>
  </si>
  <si>
    <t>Por quantos anos?</t>
  </si>
  <si>
    <t>Patrimônio Acumulado?</t>
  </si>
  <si>
    <t>Taxa de Rendimento mensal?</t>
  </si>
  <si>
    <t>Dividendos mensais ?</t>
  </si>
  <si>
    <t>SIMULADORES</t>
  </si>
  <si>
    <t>Quanto em 2 anos?</t>
  </si>
  <si>
    <t>Quanto em 5 anos?</t>
  </si>
  <si>
    <t>Quanto em 10 anos?</t>
  </si>
  <si>
    <t>Quanto em 20anos?</t>
  </si>
  <si>
    <t>Quanto em 30 anos?</t>
  </si>
  <si>
    <t>CENÁRIOS</t>
  </si>
  <si>
    <t>DIVIDENDOS</t>
  </si>
  <si>
    <t>Rendimento de Carteira</t>
  </si>
  <si>
    <t>Salário</t>
  </si>
  <si>
    <t>CONFIGURAÇÕES</t>
  </si>
  <si>
    <t>PERFIL</t>
  </si>
  <si>
    <t>Valor a ser investido por mês</t>
  </si>
  <si>
    <t>CONSERVADOR</t>
  </si>
  <si>
    <t>TIPO DE FII</t>
  </si>
  <si>
    <t>PERCENTUAL SUGERIDO</t>
  </si>
  <si>
    <t>VALORES</t>
  </si>
  <si>
    <t>Perfil</t>
  </si>
  <si>
    <t>%</t>
  </si>
  <si>
    <t>CHAVE</t>
  </si>
  <si>
    <t>PAPEL</t>
  </si>
  <si>
    <t>TIJOLOS</t>
  </si>
  <si>
    <t>HÍBRIDOS</t>
  </si>
  <si>
    <t>FOFS</t>
  </si>
  <si>
    <t>DESENVOLVIMENTO</t>
  </si>
  <si>
    <t>HOTELARIAS</t>
  </si>
  <si>
    <t>MODERADO</t>
  </si>
  <si>
    <t>AGRESSIVO</t>
  </si>
  <si>
    <t>Sugestão de Investimento (30%)</t>
  </si>
  <si>
    <t>Orientações: Preencha os campos com fundo branco e planeje seu futuro</t>
  </si>
  <si>
    <t>O simulador da DRE INVEST poderá te auxiliar, projetando cenários futuros conforme o seu perfil de investidor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</si>
</sst>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.000_-;\-&quot;R$&quot;\ * #,##0.000_-;_-&quot;R$&quot;\ * &quot;-&quot;??_-;_-@_-"/>
    <numFmt numFmtId="166" formatCode="0.00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badi ExtraLight"/>
      <family val="2"/>
    </font>
    <font>
      <sz val="11"/>
      <color theme="3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rgb="FFFFC000"/>
      </left>
      <right style="thin">
        <color rgb="FFFFFF00"/>
      </right>
      <top style="medium">
        <color rgb="FFFFC0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C000"/>
      </top>
      <bottom style="thin">
        <color rgb="FFFFFF00"/>
      </bottom>
      <diagonal/>
    </border>
    <border>
      <left style="thin">
        <color rgb="FFFFFF00"/>
      </left>
      <right style="medium">
        <color rgb="FFFFC000"/>
      </right>
      <top style="medium">
        <color rgb="FFFFC000"/>
      </top>
      <bottom style="thin">
        <color rgb="FFFFFF00"/>
      </bottom>
      <diagonal/>
    </border>
    <border>
      <left style="medium">
        <color rgb="FFFFC0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rgb="FFFFC000"/>
      </right>
      <top style="thin">
        <color rgb="FFFFFF00"/>
      </top>
      <bottom style="thin">
        <color rgb="FFFFFF00"/>
      </bottom>
      <diagonal/>
    </border>
    <border>
      <left style="medium">
        <color rgb="FFFFC000"/>
      </left>
      <right style="thin">
        <color rgb="FFFFFF00"/>
      </right>
      <top style="thin">
        <color rgb="FFFFFF00"/>
      </top>
      <bottom style="medium">
        <color rgb="FFFFC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medium">
        <color rgb="FFFFC000"/>
      </bottom>
      <diagonal/>
    </border>
    <border>
      <left style="thin">
        <color rgb="FFFFFF00"/>
      </left>
      <right style="medium">
        <color rgb="FFFFC000"/>
      </right>
      <top style="thin">
        <color rgb="FFFFFF00"/>
      </top>
      <bottom style="medium">
        <color rgb="FFFFC000"/>
      </bottom>
      <diagonal/>
    </border>
    <border>
      <left style="medium">
        <color rgb="FF002060"/>
      </left>
      <right style="thin">
        <color rgb="FF00B0F0"/>
      </right>
      <top style="medium">
        <color rgb="FF00206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2060"/>
      </top>
      <bottom style="thin">
        <color rgb="FF00B0F0"/>
      </bottom>
      <diagonal/>
    </border>
    <border>
      <left style="thin">
        <color rgb="FF00B0F0"/>
      </left>
      <right style="medium">
        <color rgb="FF002060"/>
      </right>
      <top style="medium">
        <color rgb="FF002060"/>
      </top>
      <bottom style="thin">
        <color rgb="FF00B0F0"/>
      </bottom>
      <diagonal/>
    </border>
    <border>
      <left style="medium">
        <color rgb="FF00206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2060"/>
      </right>
      <top style="thin">
        <color rgb="FF00B0F0"/>
      </top>
      <bottom style="thin">
        <color rgb="FF00B0F0"/>
      </bottom>
      <diagonal/>
    </border>
    <border>
      <left style="medium">
        <color rgb="FF002060"/>
      </left>
      <right style="thin">
        <color rgb="FF00B0F0"/>
      </right>
      <top style="thin">
        <color rgb="FF00B0F0"/>
      </top>
      <bottom style="medium">
        <color rgb="FF00206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2060"/>
      </bottom>
      <diagonal/>
    </border>
    <border>
      <left style="thin">
        <color rgb="FF00B0F0"/>
      </left>
      <right style="medium">
        <color rgb="FF002060"/>
      </right>
      <top style="thin">
        <color rgb="FF00B0F0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medium">
        <color rgb="FF00206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164" fontId="12" fillId="0" borderId="6" xfId="1" applyNumberFormat="1" applyFont="1" applyBorder="1"/>
    <xf numFmtId="10" fontId="12" fillId="0" borderId="6" xfId="0" applyNumberFormat="1" applyFont="1" applyBorder="1"/>
    <xf numFmtId="164" fontId="10" fillId="0" borderId="15" xfId="1" applyNumberFormat="1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164" fontId="10" fillId="3" borderId="15" xfId="0" applyNumberFormat="1" applyFont="1" applyFill="1" applyBorder="1" applyAlignment="1">
      <alignment horizontal="right"/>
    </xf>
    <xf numFmtId="164" fontId="10" fillId="3" borderId="18" xfId="0" applyNumberFormat="1" applyFont="1" applyFill="1" applyBorder="1" applyAlignment="1">
      <alignment horizontal="right"/>
    </xf>
    <xf numFmtId="0" fontId="9" fillId="3" borderId="13" xfId="0" applyFont="1" applyFill="1" applyBorder="1" applyAlignment="1">
      <alignment horizontal="center"/>
    </xf>
    <xf numFmtId="164" fontId="9" fillId="3" borderId="14" xfId="0" applyNumberFormat="1" applyFont="1" applyFill="1" applyBorder="1" applyAlignment="1">
      <alignment horizontal="center"/>
    </xf>
    <xf numFmtId="164" fontId="9" fillId="3" borderId="15" xfId="0" applyNumberFormat="1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164" fontId="9" fillId="3" borderId="17" xfId="0" applyNumberFormat="1" applyFont="1" applyFill="1" applyBorder="1" applyAlignment="1">
      <alignment horizontal="center"/>
    </xf>
    <xf numFmtId="164" fontId="9" fillId="3" borderId="18" xfId="0" applyNumberFormat="1" applyFont="1" applyFill="1" applyBorder="1" applyAlignment="1">
      <alignment horizontal="center"/>
    </xf>
    <xf numFmtId="164" fontId="12" fillId="7" borderId="9" xfId="0" applyNumberFormat="1" applyFont="1" applyFill="1" applyBorder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3" fillId="0" borderId="0" xfId="0" applyFont="1"/>
    <xf numFmtId="0" fontId="13" fillId="0" borderId="19" xfId="0" applyFont="1" applyBorder="1"/>
    <xf numFmtId="0" fontId="13" fillId="4" borderId="19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164" fontId="3" fillId="5" borderId="17" xfId="0" applyNumberFormat="1" applyFont="1" applyFill="1" applyBorder="1" applyAlignment="1">
      <alignment horizontal="center"/>
    </xf>
    <xf numFmtId="164" fontId="3" fillId="5" borderId="18" xfId="0" applyNumberFormat="1" applyFont="1" applyFill="1" applyBorder="1" applyAlignment="1">
      <alignment horizontal="center"/>
    </xf>
    <xf numFmtId="164" fontId="5" fillId="3" borderId="15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166" fontId="10" fillId="0" borderId="15" xfId="2" applyNumberFormat="1" applyFont="1" applyBorder="1" applyAlignment="1">
      <alignment horizontal="right"/>
    </xf>
    <xf numFmtId="0" fontId="0" fillId="0" borderId="22" xfId="0" applyBorder="1"/>
    <xf numFmtId="0" fontId="13" fillId="4" borderId="0" xfId="0" applyFont="1" applyFill="1" applyAlignment="1">
      <alignment horizontal="center"/>
    </xf>
    <xf numFmtId="9" fontId="13" fillId="0" borderId="23" xfId="2" applyFont="1" applyBorder="1"/>
    <xf numFmtId="0" fontId="0" fillId="0" borderId="24" xfId="0" applyBorder="1"/>
    <xf numFmtId="9" fontId="13" fillId="0" borderId="25" xfId="2" applyFont="1" applyBorder="1"/>
    <xf numFmtId="9" fontId="13" fillId="0" borderId="23" xfId="2" applyFont="1" applyFill="1" applyBorder="1"/>
    <xf numFmtId="9" fontId="0" fillId="0" borderId="23" xfId="2" applyFont="1" applyBorder="1"/>
    <xf numFmtId="9" fontId="0" fillId="0" borderId="25" xfId="2" applyFont="1" applyBorder="1"/>
    <xf numFmtId="0" fontId="7" fillId="0" borderId="26" xfId="0" applyFont="1" applyBorder="1"/>
    <xf numFmtId="0" fontId="14" fillId="0" borderId="27" xfId="0" applyFont="1" applyBorder="1"/>
    <xf numFmtId="0" fontId="14" fillId="4" borderId="27" xfId="0" applyFont="1" applyFill="1" applyBorder="1" applyAlignment="1">
      <alignment horizontal="center"/>
    </xf>
    <xf numFmtId="0" fontId="14" fillId="0" borderId="28" xfId="0" applyFont="1" applyBorder="1"/>
    <xf numFmtId="164" fontId="5" fillId="4" borderId="12" xfId="0" applyNumberFormat="1" applyFont="1" applyFill="1" applyBorder="1" applyAlignment="1">
      <alignment horizontal="center"/>
    </xf>
    <xf numFmtId="164" fontId="3" fillId="5" borderId="15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4" fontId="2" fillId="3" borderId="14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9" fontId="5" fillId="3" borderId="14" xfId="2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vertical="center"/>
    </xf>
    <xf numFmtId="0" fontId="8" fillId="8" borderId="0" xfId="0" applyFont="1" applyFill="1"/>
    <xf numFmtId="165" fontId="6" fillId="8" borderId="0" xfId="1" applyNumberFormat="1" applyFont="1" applyFill="1" applyAlignment="1">
      <alignment vertical="center"/>
    </xf>
    <xf numFmtId="0" fontId="4" fillId="8" borderId="0" xfId="0" applyFont="1" applyFill="1"/>
    <xf numFmtId="0" fontId="15" fillId="8" borderId="0" xfId="0" applyFont="1" applyFill="1"/>
    <xf numFmtId="0" fontId="9" fillId="8" borderId="0" xfId="0" applyFont="1" applyFill="1" applyAlignment="1">
      <alignment horizontal="center"/>
    </xf>
    <xf numFmtId="164" fontId="9" fillId="8" borderId="0" xfId="0" applyNumberFormat="1" applyFont="1" applyFill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right" indent="1"/>
    </xf>
    <xf numFmtId="0" fontId="9" fillId="3" borderId="14" xfId="0" applyFont="1" applyFill="1" applyBorder="1" applyAlignment="1">
      <alignment horizontal="right" indent="1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right" indent="1"/>
    </xf>
    <xf numFmtId="0" fontId="11" fillId="7" borderId="5" xfId="0" applyFont="1" applyFill="1" applyBorder="1" applyAlignment="1">
      <alignment horizontal="right" indent="1"/>
    </xf>
    <xf numFmtId="0" fontId="11" fillId="7" borderId="7" xfId="0" applyFont="1" applyFill="1" applyBorder="1" applyAlignment="1">
      <alignment horizontal="right" indent="1"/>
    </xf>
    <xf numFmtId="0" fontId="11" fillId="7" borderId="8" xfId="0" applyFont="1" applyFill="1" applyBorder="1" applyAlignment="1">
      <alignment horizontal="right" indent="1"/>
    </xf>
    <xf numFmtId="165" fontId="6" fillId="5" borderId="0" xfId="1" applyNumberFormat="1" applyFont="1" applyFill="1" applyAlignment="1">
      <alignment horizontal="center" vertical="center"/>
    </xf>
    <xf numFmtId="0" fontId="10" fillId="3" borderId="13" xfId="0" applyFont="1" applyFill="1" applyBorder="1" applyAlignment="1">
      <alignment horizontal="right" indent="1"/>
    </xf>
    <xf numFmtId="0" fontId="10" fillId="3" borderId="14" xfId="0" applyFont="1" applyFill="1" applyBorder="1" applyAlignment="1">
      <alignment horizontal="right" indent="1"/>
    </xf>
    <xf numFmtId="0" fontId="10" fillId="3" borderId="16" xfId="0" applyFont="1" applyFill="1" applyBorder="1" applyAlignment="1">
      <alignment horizontal="right" indent="1"/>
    </xf>
    <xf numFmtId="0" fontId="10" fillId="3" borderId="17" xfId="0" applyFont="1" applyFill="1" applyBorder="1" applyAlignment="1">
      <alignment horizontal="right" indent="1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C9A925D5-3D4D-42F1-8A28-00D6E24DC243}">
          <cx:tx>
            <cx:txData>
              <cx:f>_xlchart.v2.1</cx:f>
              <cx:v>PERCENTUAL SUGERIDO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  <cx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hyperlink" Target="https://www.piqsels.com/pt/public-domain-photo-zkvty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9526</xdr:rowOff>
    </xdr:from>
    <xdr:to>
      <xdr:col>5</xdr:col>
      <xdr:colOff>9526</xdr:colOff>
      <xdr:row>16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23E07A-2044-A813-7284-7E5E62A2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0025" y="495301"/>
          <a:ext cx="8143876" cy="2333624"/>
        </a:xfrm>
        <a:prstGeom prst="rect">
          <a:avLst/>
        </a:prstGeom>
      </xdr:spPr>
    </xdr:pic>
    <xdr:clientData/>
  </xdr:twoCellAnchor>
  <xdr:twoCellAnchor>
    <xdr:from>
      <xdr:col>2</xdr:col>
      <xdr:colOff>1724025</xdr:colOff>
      <xdr:row>49</xdr:row>
      <xdr:rowOff>4762</xdr:rowOff>
    </xdr:from>
    <xdr:to>
      <xdr:col>4</xdr:col>
      <xdr:colOff>9525</xdr:colOff>
      <xdr:row>62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54C235B-27C8-F031-62C5-50F1B97AF2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4050" y="9805987"/>
              <a:ext cx="4572000" cy="2519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02A0-0093-49EC-87FF-73C1CB25954E}">
  <dimension ref="A1:L63"/>
  <sheetViews>
    <sheetView showGridLines="0" showRowColHeaders="0" tabSelected="1" topLeftCell="B10" workbookViewId="0">
      <selection activeCell="F17" sqref="F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3" hidden="1" customWidth="1"/>
    <col min="2" max="2" width="3" customWidth="1"/>
    <col min="3" max="3" width="51" customWidth="1"/>
    <col min="4" max="4" width="43.28515625" customWidth="1"/>
    <col min="5" max="5" width="27.7109375" customWidth="1"/>
    <col min="6" max="6" width="3.5703125" style="44" customWidth="1"/>
    <col min="7" max="7" width="17.28515625" style="44" hidden="1" customWidth="1"/>
    <col min="8" max="9" width="9.140625" style="44" hidden="1" customWidth="1"/>
    <col min="10" max="12" width="0" style="44" hidden="1" customWidth="1"/>
    <col min="13" max="16384" width="9.140625" style="44" hidden="1"/>
  </cols>
  <sheetData>
    <row r="1" spans="1:11" ht="7.5" customHeight="1" x14ac:dyDescent="0.25">
      <c r="A1" s="44"/>
      <c r="B1" s="44"/>
      <c r="C1" s="44"/>
      <c r="D1" s="44"/>
      <c r="E1" s="44"/>
    </row>
    <row r="2" spans="1:11" ht="23.25" customHeight="1" x14ac:dyDescent="0.25">
      <c r="A2" s="44"/>
      <c r="B2" s="44"/>
      <c r="C2" s="65" t="s">
        <v>0</v>
      </c>
      <c r="D2" s="65"/>
      <c r="E2" s="65"/>
      <c r="F2" s="47"/>
      <c r="G2" s="48"/>
      <c r="H2" s="48"/>
      <c r="I2" s="48"/>
      <c r="J2" s="48"/>
      <c r="K2" s="48"/>
    </row>
    <row r="3" spans="1:11" ht="7.5" customHeight="1" x14ac:dyDescent="0.25">
      <c r="A3" s="44"/>
      <c r="B3" s="44"/>
      <c r="C3" s="65"/>
      <c r="D3" s="65"/>
      <c r="E3" s="65"/>
      <c r="F3" s="47"/>
    </row>
    <row r="4" spans="1:11" x14ac:dyDescent="0.25">
      <c r="A4" s="44"/>
      <c r="B4" s="44"/>
    </row>
    <row r="5" spans="1:11" x14ac:dyDescent="0.25">
      <c r="A5" s="44"/>
      <c r="B5" s="44"/>
    </row>
    <row r="6" spans="1:11" x14ac:dyDescent="0.25">
      <c r="A6" s="44"/>
      <c r="B6" s="44"/>
    </row>
    <row r="7" spans="1:11" x14ac:dyDescent="0.25">
      <c r="A7" s="44"/>
      <c r="B7" s="44"/>
    </row>
    <row r="8" spans="1:11" x14ac:dyDescent="0.25">
      <c r="A8" s="44"/>
      <c r="B8" s="44"/>
    </row>
    <row r="9" spans="1:11" x14ac:dyDescent="0.25">
      <c r="A9" s="44"/>
      <c r="B9" s="44"/>
    </row>
    <row r="10" spans="1:11" x14ac:dyDescent="0.25">
      <c r="A10" s="44"/>
      <c r="B10" s="44"/>
    </row>
    <row r="11" spans="1:11" x14ac:dyDescent="0.25">
      <c r="A11" s="44"/>
      <c r="B11" s="44"/>
    </row>
    <row r="12" spans="1:11" x14ac:dyDescent="0.25">
      <c r="A12" s="44"/>
      <c r="B12" s="44"/>
    </row>
    <row r="13" spans="1:11" x14ac:dyDescent="0.25">
      <c r="A13" s="44"/>
      <c r="B13" s="44"/>
    </row>
    <row r="14" spans="1:11" x14ac:dyDescent="0.25">
      <c r="A14" s="44"/>
      <c r="B14" s="44"/>
    </row>
    <row r="15" spans="1:11" x14ac:dyDescent="0.25">
      <c r="A15" s="44"/>
      <c r="B15" s="44"/>
    </row>
    <row r="16" spans="1:11" ht="4.5" customHeight="1" x14ac:dyDescent="0.25">
      <c r="A16" s="44"/>
      <c r="B16" s="44"/>
    </row>
    <row r="17" spans="1:5" ht="18" customHeight="1" x14ac:dyDescent="0.25">
      <c r="A17" s="44"/>
      <c r="B17" s="44"/>
      <c r="C17" s="49" t="s">
        <v>37</v>
      </c>
      <c r="D17" s="44"/>
      <c r="E17" s="44"/>
    </row>
    <row r="18" spans="1:5" ht="18" customHeight="1" x14ac:dyDescent="0.25">
      <c r="A18" s="44"/>
      <c r="B18" s="44"/>
      <c r="C18" s="49" t="s">
        <v>36</v>
      </c>
      <c r="D18" s="44"/>
      <c r="E18" s="44"/>
    </row>
    <row r="19" spans="1:5" ht="3" customHeight="1" thickBot="1" x14ac:dyDescent="0.3">
      <c r="A19" s="44"/>
      <c r="B19" s="44"/>
      <c r="C19" s="44"/>
      <c r="D19" s="44"/>
      <c r="E19" s="44"/>
    </row>
    <row r="20" spans="1:5" ht="30" customHeight="1" x14ac:dyDescent="0.25">
      <c r="A20" s="44"/>
      <c r="B20" s="44"/>
      <c r="C20" s="58" t="s">
        <v>17</v>
      </c>
      <c r="D20" s="59"/>
      <c r="E20" s="60"/>
    </row>
    <row r="21" spans="1:5" x14ac:dyDescent="0.25">
      <c r="A21" s="44"/>
      <c r="B21" s="44"/>
      <c r="C21" s="61" t="s">
        <v>16</v>
      </c>
      <c r="D21" s="62"/>
      <c r="E21" s="1">
        <v>4200</v>
      </c>
    </row>
    <row r="22" spans="1:5" x14ac:dyDescent="0.25">
      <c r="A22" s="44"/>
      <c r="B22" s="44"/>
      <c r="C22" s="61" t="s">
        <v>15</v>
      </c>
      <c r="D22" s="62"/>
      <c r="E22" s="2">
        <v>8.0000000000000002E-3</v>
      </c>
    </row>
    <row r="23" spans="1:5" ht="15.75" thickBot="1" x14ac:dyDescent="0.3">
      <c r="A23" s="44"/>
      <c r="B23" s="44"/>
      <c r="C23" s="63" t="s">
        <v>35</v>
      </c>
      <c r="D23" s="64"/>
      <c r="E23" s="13">
        <f>E21*30%</f>
        <v>1260</v>
      </c>
    </row>
    <row r="24" spans="1:5" ht="15.75" thickBot="1" x14ac:dyDescent="0.3">
      <c r="A24" s="44"/>
      <c r="B24" s="44"/>
      <c r="C24" s="44"/>
      <c r="D24" s="44"/>
      <c r="E24" s="44"/>
    </row>
    <row r="25" spans="1:5" s="45" customFormat="1" ht="30" customHeight="1" x14ac:dyDescent="0.25">
      <c r="C25" s="52" t="s">
        <v>1</v>
      </c>
      <c r="D25" s="53"/>
      <c r="E25" s="16" t="s">
        <v>7</v>
      </c>
    </row>
    <row r="26" spans="1:5" x14ac:dyDescent="0.25">
      <c r="A26" s="44"/>
      <c r="B26" s="44"/>
      <c r="C26" s="54" t="s">
        <v>2</v>
      </c>
      <c r="D26" s="55"/>
      <c r="E26" s="3">
        <v>1260</v>
      </c>
    </row>
    <row r="27" spans="1:5" x14ac:dyDescent="0.25">
      <c r="A27" s="44"/>
      <c r="B27" s="44"/>
      <c r="C27" s="54" t="s">
        <v>3</v>
      </c>
      <c r="D27" s="55"/>
      <c r="E27" s="4">
        <v>5</v>
      </c>
    </row>
    <row r="28" spans="1:5" x14ac:dyDescent="0.25">
      <c r="A28" s="44"/>
      <c r="B28" s="44"/>
      <c r="C28" s="54" t="s">
        <v>5</v>
      </c>
      <c r="D28" s="55"/>
      <c r="E28" s="25">
        <v>1.0789999999999999E-2</v>
      </c>
    </row>
    <row r="29" spans="1:5" x14ac:dyDescent="0.25">
      <c r="A29" s="44"/>
      <c r="B29" s="44"/>
      <c r="C29" s="66" t="s">
        <v>4</v>
      </c>
      <c r="D29" s="67"/>
      <c r="E29" s="5">
        <f>FV(Taxa_mensal,Qtd_anos*12,aporte_mensal*-1)</f>
        <v>105558.91163809443</v>
      </c>
    </row>
    <row r="30" spans="1:5" ht="15.75" thickBot="1" x14ac:dyDescent="0.3">
      <c r="A30" s="44"/>
      <c r="B30" s="44"/>
      <c r="C30" s="68" t="s">
        <v>6</v>
      </c>
      <c r="D30" s="69"/>
      <c r="E30" s="6">
        <f>Patrimõnio*rendimento_carteira</f>
        <v>844.47129310475543</v>
      </c>
    </row>
    <row r="31" spans="1:5" ht="15.75" thickBot="1" x14ac:dyDescent="0.3">
      <c r="A31" s="44"/>
      <c r="B31" s="44"/>
      <c r="C31" s="44"/>
      <c r="D31" s="44"/>
      <c r="E31" s="44"/>
    </row>
    <row r="32" spans="1:5" s="45" customFormat="1" ht="30" customHeight="1" x14ac:dyDescent="0.25">
      <c r="C32" s="14" t="s">
        <v>13</v>
      </c>
      <c r="D32" s="15" t="s">
        <v>7</v>
      </c>
      <c r="E32" s="16" t="s">
        <v>14</v>
      </c>
    </row>
    <row r="33" spans="1:5" x14ac:dyDescent="0.25">
      <c r="A33" s="46">
        <v>2</v>
      </c>
      <c r="B33" s="46"/>
      <c r="C33" s="7" t="s">
        <v>8</v>
      </c>
      <c r="D33" s="8">
        <f>FV($E$28,A33*12,-$E$26)</f>
        <v>34306.810395032975</v>
      </c>
      <c r="E33" s="9">
        <f>D33*rendimento_carteira</f>
        <v>274.45448316026381</v>
      </c>
    </row>
    <row r="34" spans="1:5" x14ac:dyDescent="0.25">
      <c r="A34" s="46">
        <v>5</v>
      </c>
      <c r="B34" s="46"/>
      <c r="C34" s="7" t="s">
        <v>9</v>
      </c>
      <c r="D34" s="8">
        <f>FV($E$28,A34*12,-$E$26)</f>
        <v>105558.91163809443</v>
      </c>
      <c r="E34" s="9">
        <f>D34*rendimento_carteira</f>
        <v>844.47129310475543</v>
      </c>
    </row>
    <row r="35" spans="1:5" x14ac:dyDescent="0.25">
      <c r="A35" s="46">
        <v>10</v>
      </c>
      <c r="B35" s="46"/>
      <c r="C35" s="7" t="s">
        <v>10</v>
      </c>
      <c r="D35" s="8">
        <f>FV($E$28,A35*12,-$E$26)</f>
        <v>306538.10778801696</v>
      </c>
      <c r="E35" s="9">
        <f>D35*rendimento_carteira</f>
        <v>2452.3048623041359</v>
      </c>
    </row>
    <row r="36" spans="1:5" x14ac:dyDescent="0.25">
      <c r="A36" s="46">
        <v>20</v>
      </c>
      <c r="B36" s="46"/>
      <c r="C36" s="7" t="s">
        <v>11</v>
      </c>
      <c r="D36" s="8">
        <f>FV($E$28,A36*12,-$E$26)</f>
        <v>1417749.9841223215</v>
      </c>
      <c r="E36" s="9">
        <f>D36*rendimento_carteira</f>
        <v>11341.999872978571</v>
      </c>
    </row>
    <row r="37" spans="1:5" ht="15.75" thickBot="1" x14ac:dyDescent="0.3">
      <c r="A37" s="46">
        <v>30</v>
      </c>
      <c r="B37" s="46"/>
      <c r="C37" s="10" t="s">
        <v>12</v>
      </c>
      <c r="D37" s="11">
        <f>FV($E$28,A37*12,-$E$26)</f>
        <v>5445933.7653059401</v>
      </c>
      <c r="E37" s="12">
        <f>D37*rendimento_carteira</f>
        <v>43567.470122447521</v>
      </c>
    </row>
    <row r="38" spans="1:5" ht="15.75" thickBot="1" x14ac:dyDescent="0.3">
      <c r="A38" s="46"/>
      <c r="B38" s="46"/>
      <c r="C38" s="50"/>
      <c r="D38" s="51"/>
      <c r="E38" s="51"/>
    </row>
    <row r="39" spans="1:5" x14ac:dyDescent="0.25">
      <c r="A39" s="46"/>
      <c r="B39" s="46"/>
      <c r="C39" s="70" t="s">
        <v>18</v>
      </c>
      <c r="D39" s="71"/>
      <c r="E39" s="38" t="s">
        <v>34</v>
      </c>
    </row>
    <row r="40" spans="1:5" ht="24.75" customHeight="1" x14ac:dyDescent="0.25">
      <c r="A40" s="46"/>
      <c r="B40" s="46"/>
      <c r="C40" s="56" t="s">
        <v>19</v>
      </c>
      <c r="D40" s="57"/>
      <c r="E40" s="39">
        <f>aporte_mensal</f>
        <v>1260</v>
      </c>
    </row>
    <row r="41" spans="1:5" x14ac:dyDescent="0.25">
      <c r="A41" s="46"/>
      <c r="B41" s="46"/>
      <c r="C41" s="40" t="s">
        <v>21</v>
      </c>
      <c r="D41" s="41" t="s">
        <v>22</v>
      </c>
      <c r="E41" s="24" t="s">
        <v>23</v>
      </c>
    </row>
    <row r="42" spans="1:5" x14ac:dyDescent="0.25">
      <c r="A42" s="46"/>
      <c r="B42" s="46"/>
      <c r="C42" s="42" t="s">
        <v>27</v>
      </c>
      <c r="D42" s="43">
        <f>VLOOKUP($E$39&amp;"-"&amp;C42,'% FII'!$B$2:$E$19,4,FALSE)</f>
        <v>0.5</v>
      </c>
      <c r="E42" s="23">
        <f t="shared" ref="E42:E47" si="0">D42*$E$40</f>
        <v>630</v>
      </c>
    </row>
    <row r="43" spans="1:5" x14ac:dyDescent="0.25">
      <c r="A43" s="46"/>
      <c r="B43" s="46"/>
      <c r="C43" s="42" t="s">
        <v>28</v>
      </c>
      <c r="D43" s="43">
        <f>VLOOKUP($E$39&amp;"-"&amp;C43,'% FII'!$B$2:$E$19,4,FALSE)</f>
        <v>0.1</v>
      </c>
      <c r="E43" s="23">
        <f t="shared" si="0"/>
        <v>126</v>
      </c>
    </row>
    <row r="44" spans="1:5" x14ac:dyDescent="0.25">
      <c r="A44" s="46"/>
      <c r="B44" s="46"/>
      <c r="C44" s="42" t="s">
        <v>29</v>
      </c>
      <c r="D44" s="43">
        <f>VLOOKUP($E$39&amp;"-"&amp;C44,'% FII'!$B$2:$E$19,4,FALSE)</f>
        <v>0.05</v>
      </c>
      <c r="E44" s="23">
        <f t="shared" si="0"/>
        <v>63</v>
      </c>
    </row>
    <row r="45" spans="1:5" x14ac:dyDescent="0.25">
      <c r="A45" s="46"/>
      <c r="B45" s="46"/>
      <c r="C45" s="42" t="s">
        <v>30</v>
      </c>
      <c r="D45" s="43">
        <f>VLOOKUP($E$39&amp;"-"&amp;C45,'% FII'!$B$2:$E$19,4,FALSE)</f>
        <v>0.05</v>
      </c>
      <c r="E45" s="23">
        <f t="shared" si="0"/>
        <v>63</v>
      </c>
    </row>
    <row r="46" spans="1:5" x14ac:dyDescent="0.25">
      <c r="A46" s="46"/>
      <c r="B46" s="46"/>
      <c r="C46" s="42" t="s">
        <v>31</v>
      </c>
      <c r="D46" s="43">
        <f>VLOOKUP($E$39&amp;"-"&amp;C46,'% FII'!$B$2:$E$19,4,FALSE)</f>
        <v>0.2</v>
      </c>
      <c r="E46" s="23">
        <f t="shared" si="0"/>
        <v>252</v>
      </c>
    </row>
    <row r="47" spans="1:5" x14ac:dyDescent="0.25">
      <c r="A47" s="46"/>
      <c r="B47" s="46"/>
      <c r="C47" s="42" t="s">
        <v>32</v>
      </c>
      <c r="D47" s="43">
        <f>VLOOKUP($E$39&amp;"-"&amp;C47,'% FII'!$B$2:$E$19,4,FALSE)</f>
        <v>0.1</v>
      </c>
      <c r="E47" s="23">
        <f t="shared" si="0"/>
        <v>126</v>
      </c>
    </row>
    <row r="48" spans="1:5" ht="15.75" thickBot="1" x14ac:dyDescent="0.3">
      <c r="A48" s="46"/>
      <c r="B48" s="46"/>
      <c r="C48" s="20"/>
      <c r="D48" s="21"/>
      <c r="E48" s="22">
        <f>SUM(E42:E47)</f>
        <v>1260</v>
      </c>
    </row>
    <row r="49" spans="1:5" x14ac:dyDescent="0.25">
      <c r="A49" s="46"/>
      <c r="B49" s="46"/>
      <c r="C49" s="50"/>
      <c r="D49" s="51"/>
      <c r="E49" s="51"/>
    </row>
    <row r="50" spans="1:5" x14ac:dyDescent="0.25">
      <c r="B50" s="44"/>
      <c r="C50" s="44"/>
      <c r="E50" s="44"/>
    </row>
    <row r="51" spans="1:5" x14ac:dyDescent="0.25">
      <c r="B51" s="44"/>
      <c r="C51" s="44"/>
      <c r="E51" s="44"/>
    </row>
    <row r="52" spans="1:5" x14ac:dyDescent="0.25">
      <c r="B52" s="44"/>
      <c r="C52" s="44"/>
      <c r="E52" s="44"/>
    </row>
    <row r="53" spans="1:5" x14ac:dyDescent="0.25">
      <c r="B53" s="44"/>
      <c r="C53" s="44"/>
      <c r="E53" s="44"/>
    </row>
    <row r="54" spans="1:5" x14ac:dyDescent="0.25">
      <c r="B54" s="44"/>
      <c r="C54" s="44"/>
      <c r="E54" s="44"/>
    </row>
    <row r="55" spans="1:5" x14ac:dyDescent="0.25">
      <c r="B55" s="44"/>
      <c r="C55" s="44"/>
      <c r="E55" s="44"/>
    </row>
    <row r="56" spans="1:5" x14ac:dyDescent="0.25">
      <c r="B56" s="44"/>
      <c r="C56" s="44"/>
      <c r="E56" s="44"/>
    </row>
    <row r="57" spans="1:5" x14ac:dyDescent="0.25">
      <c r="B57" s="44"/>
      <c r="C57" s="44"/>
      <c r="E57" s="44"/>
    </row>
    <row r="58" spans="1:5" x14ac:dyDescent="0.25">
      <c r="B58" s="44"/>
      <c r="C58" s="44"/>
      <c r="E58" s="44"/>
    </row>
    <row r="59" spans="1:5" x14ac:dyDescent="0.25">
      <c r="B59" s="44"/>
      <c r="C59" s="44"/>
      <c r="E59" s="44"/>
    </row>
    <row r="60" spans="1:5" x14ac:dyDescent="0.25">
      <c r="B60" s="44"/>
      <c r="C60" s="44"/>
      <c r="E60" s="44"/>
    </row>
    <row r="61" spans="1:5" x14ac:dyDescent="0.25">
      <c r="B61" s="44"/>
      <c r="C61" s="44"/>
      <c r="E61" s="44"/>
    </row>
    <row r="62" spans="1:5" x14ac:dyDescent="0.25">
      <c r="B62" s="44"/>
      <c r="C62" s="44"/>
      <c r="E62" s="44"/>
    </row>
    <row r="63" spans="1:5" x14ac:dyDescent="0.25">
      <c r="B63" s="44"/>
      <c r="C63" s="44"/>
      <c r="D63" s="44"/>
      <c r="E63" s="44"/>
    </row>
  </sheetData>
  <mergeCells count="13">
    <mergeCell ref="C2:E3"/>
    <mergeCell ref="C29:D29"/>
    <mergeCell ref="C30:D30"/>
    <mergeCell ref="C39:D39"/>
    <mergeCell ref="C27:D27"/>
    <mergeCell ref="C28:D28"/>
    <mergeCell ref="C25:D25"/>
    <mergeCell ref="C26:D26"/>
    <mergeCell ref="C40:D40"/>
    <mergeCell ref="C20:E20"/>
    <mergeCell ref="C21:D21"/>
    <mergeCell ref="C22:D22"/>
    <mergeCell ref="C23:D23"/>
  </mergeCells>
  <dataValidations count="1">
    <dataValidation type="list" allowBlank="1" showInputMessage="1" showErrorMessage="1" prompt="ESCOLHA SEU PERFIL" sqref="E39" xr:uid="{60E2EFC0-B935-4E61-B85A-977A76A0192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C6B4-CE9F-4AF3-9834-9D7EABA267C0}">
  <dimension ref="B1:F19"/>
  <sheetViews>
    <sheetView showGridLines="0" workbookViewId="0">
      <selection activeCell="I6" sqref="I6"/>
    </sheetView>
  </sheetViews>
  <sheetFormatPr defaultRowHeight="15" x14ac:dyDescent="0.25"/>
  <cols>
    <col min="1" max="1" width="5" customWidth="1"/>
    <col min="2" max="2" width="33" bestFit="1" customWidth="1"/>
    <col min="3" max="3" width="13.85546875" customWidth="1"/>
    <col min="4" max="4" width="19.7109375" customWidth="1"/>
    <col min="5" max="5" width="10.28515625" customWidth="1"/>
  </cols>
  <sheetData>
    <row r="1" spans="2:6" x14ac:dyDescent="0.25">
      <c r="B1" s="34" t="s">
        <v>26</v>
      </c>
      <c r="C1" s="35" t="s">
        <v>24</v>
      </c>
      <c r="D1" s="36" t="s">
        <v>21</v>
      </c>
      <c r="E1" s="37" t="s">
        <v>25</v>
      </c>
      <c r="F1" s="17"/>
    </row>
    <row r="2" spans="2:6" x14ac:dyDescent="0.25">
      <c r="B2" s="26" t="str">
        <f>C2&amp;"-"&amp;D2</f>
        <v>CONSERVADOR-PAPEL</v>
      </c>
      <c r="C2" s="17" t="s">
        <v>20</v>
      </c>
      <c r="D2" s="27" t="s">
        <v>27</v>
      </c>
      <c r="E2" s="28">
        <v>0.25</v>
      </c>
      <c r="F2" s="17"/>
    </row>
    <row r="3" spans="2:6" x14ac:dyDescent="0.25">
      <c r="B3" s="26" t="str">
        <f t="shared" ref="B3:B19" si="0">C3&amp;"-"&amp;D3</f>
        <v>CONSERVADOR-TIJOLOS</v>
      </c>
      <c r="C3" s="17" t="s">
        <v>20</v>
      </c>
      <c r="D3" s="27" t="s">
        <v>28</v>
      </c>
      <c r="E3" s="28">
        <v>0.55000000000000004</v>
      </c>
      <c r="F3" s="17"/>
    </row>
    <row r="4" spans="2:6" x14ac:dyDescent="0.25">
      <c r="B4" s="26" t="str">
        <f t="shared" si="0"/>
        <v>CONSERVADOR-HÍBRIDOS</v>
      </c>
      <c r="C4" s="17" t="s">
        <v>20</v>
      </c>
      <c r="D4" s="27" t="s">
        <v>29</v>
      </c>
      <c r="E4" s="28">
        <v>0.1</v>
      </c>
      <c r="F4" s="17"/>
    </row>
    <row r="5" spans="2:6" x14ac:dyDescent="0.25">
      <c r="B5" s="26" t="str">
        <f t="shared" si="0"/>
        <v>CONSERVADOR-FOFS</v>
      </c>
      <c r="C5" s="17" t="s">
        <v>20</v>
      </c>
      <c r="D5" s="27" t="s">
        <v>30</v>
      </c>
      <c r="E5" s="28">
        <v>0.1</v>
      </c>
      <c r="F5" s="17"/>
    </row>
    <row r="6" spans="2:6" x14ac:dyDescent="0.25">
      <c r="B6" s="26" t="str">
        <f t="shared" si="0"/>
        <v>CONSERVADOR-DESENVOLVIMENTO</v>
      </c>
      <c r="C6" s="17" t="s">
        <v>20</v>
      </c>
      <c r="D6" s="27" t="s">
        <v>31</v>
      </c>
      <c r="E6" s="28">
        <v>0</v>
      </c>
      <c r="F6" s="17"/>
    </row>
    <row r="7" spans="2:6" x14ac:dyDescent="0.25">
      <c r="B7" s="29" t="str">
        <f t="shared" si="0"/>
        <v>CONSERVADOR-HOTELARIAS</v>
      </c>
      <c r="C7" s="18" t="s">
        <v>20</v>
      </c>
      <c r="D7" s="19" t="s">
        <v>32</v>
      </c>
      <c r="E7" s="30">
        <v>0</v>
      </c>
      <c r="F7" s="17"/>
    </row>
    <row r="8" spans="2:6" x14ac:dyDescent="0.25">
      <c r="B8" s="26" t="str">
        <f t="shared" si="0"/>
        <v>MODERADO-PAPEL</v>
      </c>
      <c r="C8" s="17" t="s">
        <v>33</v>
      </c>
      <c r="D8" s="27" t="s">
        <v>27</v>
      </c>
      <c r="E8" s="28">
        <v>0.3</v>
      </c>
      <c r="F8" s="17"/>
    </row>
    <row r="9" spans="2:6" x14ac:dyDescent="0.25">
      <c r="B9" s="26" t="str">
        <f t="shared" si="0"/>
        <v>MODERADO-TIJOLOS</v>
      </c>
      <c r="C9" s="17" t="s">
        <v>33</v>
      </c>
      <c r="D9" s="27" t="s">
        <v>28</v>
      </c>
      <c r="E9" s="31">
        <v>0.42</v>
      </c>
    </row>
    <row r="10" spans="2:6" x14ac:dyDescent="0.25">
      <c r="B10" s="26" t="str">
        <f t="shared" si="0"/>
        <v>MODERADO-HÍBRIDOS</v>
      </c>
      <c r="C10" s="17" t="s">
        <v>33</v>
      </c>
      <c r="D10" s="27" t="s">
        <v>29</v>
      </c>
      <c r="E10" s="32">
        <v>0.08</v>
      </c>
    </row>
    <row r="11" spans="2:6" x14ac:dyDescent="0.25">
      <c r="B11" s="26" t="str">
        <f t="shared" si="0"/>
        <v>MODERADO-FOFS</v>
      </c>
      <c r="C11" s="17" t="s">
        <v>33</v>
      </c>
      <c r="D11" s="27" t="s">
        <v>30</v>
      </c>
      <c r="E11" s="32">
        <v>0.1</v>
      </c>
    </row>
    <row r="12" spans="2:6" x14ac:dyDescent="0.25">
      <c r="B12" s="26" t="str">
        <f t="shared" si="0"/>
        <v>MODERADO-DESENVOLVIMENTO</v>
      </c>
      <c r="C12" s="17" t="s">
        <v>33</v>
      </c>
      <c r="D12" s="27" t="s">
        <v>31</v>
      </c>
      <c r="E12" s="32">
        <v>0.05</v>
      </c>
    </row>
    <row r="13" spans="2:6" x14ac:dyDescent="0.25">
      <c r="B13" s="29" t="str">
        <f t="shared" si="0"/>
        <v>MODERADO-HOTELARIAS</v>
      </c>
      <c r="C13" s="18" t="s">
        <v>33</v>
      </c>
      <c r="D13" s="19" t="s">
        <v>32</v>
      </c>
      <c r="E13" s="33">
        <v>0.05</v>
      </c>
    </row>
    <row r="14" spans="2:6" x14ac:dyDescent="0.25">
      <c r="B14" s="26" t="str">
        <f t="shared" si="0"/>
        <v>AGRESSIVO-PAPEL</v>
      </c>
      <c r="C14" s="17" t="s">
        <v>34</v>
      </c>
      <c r="D14" s="27" t="s">
        <v>27</v>
      </c>
      <c r="E14" s="32">
        <v>0.5</v>
      </c>
    </row>
    <row r="15" spans="2:6" x14ac:dyDescent="0.25">
      <c r="B15" s="26" t="str">
        <f t="shared" si="0"/>
        <v>AGRESSIVO-TIJOLOS</v>
      </c>
      <c r="C15" s="17" t="s">
        <v>34</v>
      </c>
      <c r="D15" s="27" t="s">
        <v>28</v>
      </c>
      <c r="E15" s="32">
        <v>0.1</v>
      </c>
    </row>
    <row r="16" spans="2:6" x14ac:dyDescent="0.25">
      <c r="B16" s="26" t="str">
        <f t="shared" si="0"/>
        <v>AGRESSIVO-HÍBRIDOS</v>
      </c>
      <c r="C16" s="17" t="s">
        <v>34</v>
      </c>
      <c r="D16" s="27" t="s">
        <v>29</v>
      </c>
      <c r="E16" s="32">
        <v>0.05</v>
      </c>
    </row>
    <row r="17" spans="2:5" x14ac:dyDescent="0.25">
      <c r="B17" s="26" t="str">
        <f t="shared" si="0"/>
        <v>AGRESSIVO-FOFS</v>
      </c>
      <c r="C17" s="17" t="s">
        <v>34</v>
      </c>
      <c r="D17" s="27" t="s">
        <v>30</v>
      </c>
      <c r="E17" s="32">
        <v>0.05</v>
      </c>
    </row>
    <row r="18" spans="2:5" x14ac:dyDescent="0.25">
      <c r="B18" s="26" t="str">
        <f t="shared" si="0"/>
        <v>AGRESSIVO-DESENVOLVIMENTO</v>
      </c>
      <c r="C18" s="17" t="s">
        <v>34</v>
      </c>
      <c r="D18" s="27" t="s">
        <v>31</v>
      </c>
      <c r="E18" s="32">
        <v>0.2</v>
      </c>
    </row>
    <row r="19" spans="2:5" x14ac:dyDescent="0.25">
      <c r="B19" s="29" t="str">
        <f t="shared" si="0"/>
        <v>AGRESSIVO-HOTELARIAS</v>
      </c>
      <c r="C19" s="18" t="s">
        <v>34</v>
      </c>
      <c r="D19" s="19" t="s">
        <v>32</v>
      </c>
      <c r="E19" s="3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Simulador</vt:lpstr>
      <vt:lpstr>% FII</vt:lpstr>
      <vt:lpstr>aporte_mensal</vt:lpstr>
      <vt:lpstr>Patrimõnio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Duarte da Silva</dc:creator>
  <cp:lastModifiedBy>Andressa Duarte da Silva</cp:lastModifiedBy>
  <dcterms:created xsi:type="dcterms:W3CDTF">2026-09-29T17:02:05Z</dcterms:created>
  <dcterms:modified xsi:type="dcterms:W3CDTF">2026-10-05T01:28:11Z</dcterms:modified>
</cp:coreProperties>
</file>